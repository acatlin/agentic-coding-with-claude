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yc\Downloads\"/>
    </mc:Choice>
  </mc:AlternateContent>
  <xr:revisionPtr revIDLastSave="0" documentId="11_0389D255D6226DCE0F5AA47C907C12C2861E9CC1" xr6:coauthVersionLast="47" xr6:coauthVersionMax="47" xr10:uidLastSave="{00000000-0000-0000-0000-000000000000}"/>
  <bookViews>
    <workbookView xWindow="-98" yWindow="-98" windowWidth="24496" windowHeight="15675" tabRatio="500" activeTab="2" xr2:uid="{00000000-000D-0000-FFFF-FFFF00000000}"/>
  </bookViews>
  <sheets>
    <sheet name="Overview" sheetId="1" r:id="rId1"/>
    <sheet name="Objectives" sheetId="2" r:id="rId2"/>
    <sheet name="Weekly Map" sheetId="3" r:id="rId3"/>
    <sheet name="Sourc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3" l="1"/>
  <c r="G10" i="3"/>
  <c r="G9" i="3"/>
  <c r="G8" i="3"/>
  <c r="G7" i="3"/>
  <c r="G6" i="3"/>
  <c r="G5" i="3"/>
  <c r="G4" i="3"/>
  <c r="G3" i="3"/>
  <c r="G2" i="3"/>
  <c r="G12" i="3" s="1"/>
  <c r="B9" i="1"/>
</calcChain>
</file>

<file path=xl/sharedStrings.xml><?xml version="1.0" encoding="utf-8"?>
<sst xmlns="http://schemas.openxmlformats.org/spreadsheetml/2006/main" count="550" uniqueCount="384">
  <si>
    <t>Agentic Coding with Claude — 10-Week Opt-In Course</t>
  </si>
  <si>
    <t>Course outcome</t>
  </si>
  <si>
    <t>Students finish confident and deliberate about directing AI labor in their own coding work: they can specify (grill sessions, PRDs, issue decomposition), direct (context management, plan-first execution, TDD), and review (diff review, code review, verification) work performed by Claude Code.</t>
  </si>
  <si>
    <t>Format</t>
  </si>
  <si>
    <t>Opt-in cohort; 3–5 hours/week total: readings + videos (~1.5–2.0 h), 25-question multiple-choice quiz (~0.5 h), hands-on assignment (~1.0–1.5 h), cohort meeting (~0.5–0.75 h).</t>
  </si>
  <si>
    <t>Tooling</t>
  </si>
  <si>
    <t>Claude Pro subscription ($20/mo, student-provided) with Claude Code; GitHub account; VS Code or terminal of choice. Sonnet is the default model; sessions are kept short and scoped to stay within Pro usage limits.</t>
  </si>
  <si>
    <t>Source hierarchy</t>
  </si>
  <si>
    <t>1) Anthropic official: code.claude.com docs, anthropic.com/engineering, Anthropic Academy (anthropic.skilljar.com). 2) Matt Pocock / AI Hero (aihero.dev, mattpocock/skills). 3) Selected practitioner material (Warp review guide, community consolidations). Ancillary: GitHub official docs for branches, issues, PRs.</t>
  </si>
  <si>
    <t>Deliverable per student</t>
  </si>
  <si>
    <t>A small shipped web/CLI application built spec-first across Weeks 3–10, plus a Personal Agentic Workflow Playbook documenting their own CLAUDE.md conventions, skills, and spec→build→review process.</t>
  </si>
  <si>
    <t>Grading</t>
  </si>
  <si>
    <t>Quizzes 25% (best 8 of 10) · Weekly assignments 45% · Capstone + playbook 20% · Participation 10%.</t>
  </si>
  <si>
    <t>Objectives in workbook</t>
  </si>
  <si>
    <t>Note: video links are recorded at title + channel level; per the course's quiz production recipe, exact URLs are web-fetched fresh at quiz-build time and verified before each weekly quiz is written.</t>
  </si>
  <si>
    <t>ID</t>
  </si>
  <si>
    <t>Week</t>
  </si>
  <si>
    <t>Category</t>
  </si>
  <si>
    <t>Mastery Objective</t>
  </si>
  <si>
    <t>Bloom Level</t>
  </si>
  <si>
    <t>Assessed By</t>
  </si>
  <si>
    <t>Primary Source</t>
  </si>
  <si>
    <t>M01</t>
  </si>
  <si>
    <t>Foundations</t>
  </si>
  <si>
    <t>Explain the agentic loop (gather context → take action → verify → repeat) and how Claude Code uses tools to read files, run commands, and edit code.</t>
  </si>
  <si>
    <t>Understand</t>
  </si>
  <si>
    <t>Quiz 1</t>
  </si>
  <si>
    <t>code.claude.com Overview; Claude Code 101 (Skilljar)</t>
  </si>
  <si>
    <t>M02</t>
  </si>
  <si>
    <t>Distinguish agentic coding from chat-based code assistance and from autocomplete, and describe what ‘AI labor’ means as a division of planning vs. execution decisions.</t>
  </si>
  <si>
    <t>Analyze</t>
  </si>
  <si>
    <t>Quiz 1; A1 reflection</t>
  </si>
  <si>
    <t>Anthropic: How Claude Code is used in practice</t>
  </si>
  <si>
    <t>M03</t>
  </si>
  <si>
    <t>Setup</t>
  </si>
  <si>
    <t>Install Claude Code, authenticate with a Claude Pro account, and initialize a project with /init inside a Git repository.</t>
  </si>
  <si>
    <t>Apply</t>
  </si>
  <si>
    <t>Assignment A1</t>
  </si>
  <si>
    <t>code.claude.com Quickstart</t>
  </si>
  <si>
    <t>M04</t>
  </si>
  <si>
    <t>Use core session controls: submitting a prompt, interrupting, /help, /clear, and reviewing what Claude changed before committing.</t>
  </si>
  <si>
    <t>Claude Code 101 (Skilljar)</t>
  </si>
  <si>
    <t>M05</t>
  </si>
  <si>
    <t>Judgment</t>
  </si>
  <si>
    <t>Identify, in a completed session transcript, which decisions were made by the human and which by the agent.</t>
  </si>
  <si>
    <t>A1 reflection</t>
  </si>
  <si>
    <t>M06</t>
  </si>
  <si>
    <t>Git basics</t>
  </si>
  <si>
    <t>Create a GitHub repository, clone it locally, and make a first commit with a well-formed commit message.</t>
  </si>
  <si>
    <t>GitHub Docs: Hello World</t>
  </si>
  <si>
    <t>M07</t>
  </si>
  <si>
    <t>Context</t>
  </si>
  <si>
    <t>Explain why context occupancy degrades model output (‘smart zone’ vs. ‘dumb zone’) and estimate when a session should be reset.</t>
  </si>
  <si>
    <t>Quiz 2</t>
  </si>
  <si>
    <t>Pocock: smart zone/dumb zone (aihero.dev)</t>
  </si>
  <si>
    <t>M08</t>
  </si>
  <si>
    <t>Apply the memento principle: prefer /clear plus externalized state over /compact, and articulate the tradeoff between a deterministic empty state and a noisy summary.</t>
  </si>
  <si>
    <t>Quiz 2; A2</t>
  </si>
  <si>
    <t>Pocock workshop (AI Engineer 2026)</t>
  </si>
  <si>
    <t>M09</t>
  </si>
  <si>
    <t>CLAUDE.md</t>
  </si>
  <si>
    <t>Write a lean CLAUDE.md (build commands, conventions, layout, non-negotiable rules) and justify what was deliberately left out.</t>
  </si>
  <si>
    <t>Create</t>
  </si>
  <si>
    <t>Assignment A2</t>
  </si>
  <si>
    <t>code.claude.com Memory docs</t>
  </si>
  <si>
    <t>M10</t>
  </si>
  <si>
    <t>Describe the CLAUDE.md scope hierarchy (user, project, path-scoped) and when to move content into a skill instead.</t>
  </si>
  <si>
    <t>M11</t>
  </si>
  <si>
    <t>Steering</t>
  </si>
  <si>
    <t>Use plan mode to scope work before execution and the rewind menu to course-correct a session.</t>
  </si>
  <si>
    <t>Claude Code in Action: Steer the Work (Skilljar)</t>
  </si>
  <si>
    <t>M12</t>
  </si>
  <si>
    <t>Evidence</t>
  </si>
  <si>
    <t>Run the same task in a well-contexted fresh session vs. a polluted long session and document the observed quality difference.</t>
  </si>
  <si>
    <t>Evaluate</t>
  </si>
  <si>
    <t>Course exercise</t>
  </si>
  <si>
    <t>M13</t>
  </si>
  <si>
    <t>Specification</t>
  </si>
  <si>
    <t>Explain why alignment precedes implementation: what a grill session is and what failure modes it prevents.</t>
  </si>
  <si>
    <t>Quiz 3</t>
  </si>
  <si>
    <t>Pocock: grill-me skill (aihero.dev)</t>
  </si>
  <si>
    <t>M14</t>
  </si>
  <si>
    <t>Conduct a grill session in which Claude interviews the student until the design concept is shared, capturing decisions as they resolve.</t>
  </si>
  <si>
    <t>Assignment A3</t>
  </si>
  <si>
    <t>M15</t>
  </si>
  <si>
    <t>Write a 1–2 page PRD treating it as a destination marker (not a compiler input): goals, non-goals, user stories, constraints, acceptance criteria.</t>
  </si>
  <si>
    <t>Pocock: PRD workflow (aihero.dev)</t>
  </si>
  <si>
    <t>M16</t>
  </si>
  <si>
    <t>Explain ‘PRD as destination’: why over-polishing specs wastes effort and why doc rot is expected and acceptable.</t>
  </si>
  <si>
    <t>M17</t>
  </si>
  <si>
    <t>Evaluate a peer's PRD for ambiguity, missing acceptance criteria, and scope creep.</t>
  </si>
  <si>
    <t>Meeting 3 exercise</t>
  </si>
  <si>
    <t>M18</t>
  </si>
  <si>
    <t>Describe how giving Claude a verifiable target (tests, mock, expected output) improves results over open-ended prompting.</t>
  </si>
  <si>
    <t>Anthropic: Claude Code best practices</t>
  </si>
  <si>
    <t>M19</t>
  </si>
  <si>
    <t>GitHub</t>
  </si>
  <si>
    <t>Explain branches, merges, and the pull request lifecycle; create a feature branch and open a PR.</t>
  </si>
  <si>
    <t>Quiz 4; A4</t>
  </si>
  <si>
    <t>GitHub Docs: About branches / About PRs</t>
  </si>
  <si>
    <t>M20</t>
  </si>
  <si>
    <t>Explain GitHub issues as units of agent work: titles, bodies with acceptance criteria, labels, and linking issues to PRs.</t>
  </si>
  <si>
    <t>Assignment A4</t>
  </si>
  <si>
    <t>GitHub Docs: About issues</t>
  </si>
  <si>
    <t>M21</t>
  </si>
  <si>
    <t>Planning</t>
  </si>
  <si>
    <t>Decompose a PRD into 6–10 vertical-slice ‘tracer bullet’ issues that each cross every layer and emit observable feedback.</t>
  </si>
  <si>
    <t>Pocock: tracer bullets / issue decomposition</t>
  </si>
  <si>
    <t>M22</t>
  </si>
  <si>
    <t>Sequence and prioritize an issue backlog (Kanban) so that early slices de-risk the architecture.</t>
  </si>
  <si>
    <t>M23</t>
  </si>
  <si>
    <t>Use Claude Code with the gh CLI to draft and file issues, and review the drafts for accuracy before submitting.</t>
  </si>
  <si>
    <t>code.claude.com Common Workflows</t>
  </si>
  <si>
    <t>M24</t>
  </si>
  <si>
    <t>Explain why one-issue-per-session keeps the agent in the smart zone and simplifies review.</t>
  </si>
  <si>
    <t>Quiz 4</t>
  </si>
  <si>
    <t>Pocock; Ettema write-up</t>
  </si>
  <si>
    <t>M25</t>
  </si>
  <si>
    <t>Execution</t>
  </si>
  <si>
    <t>Apply the Explore–Plan–Code–Commit workflow: have Claude read relevant code, produce a plan, then implement only after plan approval.</t>
  </si>
  <si>
    <t>Assignment A5</t>
  </si>
  <si>
    <t>M26</t>
  </si>
  <si>
    <t>Configure permission modes appropriately for a task (default approvals vs. accept-edits vs. plan-only) and justify the choice.</t>
  </si>
  <si>
    <t>Quiz 5; A5</t>
  </si>
  <si>
    <t>Claude Code in Action: Configure (Skilljar)</t>
  </si>
  <si>
    <t>M27</t>
  </si>
  <si>
    <t>TDD</t>
  </si>
  <si>
    <t>Direct Claude to write failing tests first, confirm they fail, then implement to green — and explain why feedback-loop quality is the ceiling on agent output.</t>
  </si>
  <si>
    <t>Pocock: TDD feedback loop</t>
  </si>
  <si>
    <t>M28</t>
  </si>
  <si>
    <t>Run each issue in its own fresh session with CLAUDE.md and the issue body as context; open one PR per issue.</t>
  </si>
  <si>
    <t>Course workflow</t>
  </si>
  <si>
    <t>M29</t>
  </si>
  <si>
    <t>Recognize when to interrupt and redirect an agent mid-task vs. let it finish and review the diff.</t>
  </si>
  <si>
    <t>Meeting 5 discussion</t>
  </si>
  <si>
    <t>Approve-with-comments workflow material</t>
  </si>
  <si>
    <t>M30</t>
  </si>
  <si>
    <t>Describe how course-corrections during a run (interrupt, comment, rewind) differ from post-hoc review.</t>
  </si>
  <si>
    <t>Quiz 5</t>
  </si>
  <si>
    <t>code.claude.com docs</t>
  </si>
  <si>
    <t>M31</t>
  </si>
  <si>
    <t>Review</t>
  </si>
  <si>
    <t>Run /diff after a task and read both the full-diff and per-turn views before committing.</t>
  </si>
  <si>
    <t>Assignment A6</t>
  </si>
  <si>
    <t>code.claude.com; Qiao /diff post</t>
  </si>
  <si>
    <t>M32</t>
  </si>
  <si>
    <t>Apply the four-checkpoint review workflow: scope bounds before, approval gates during, diff gate after, tests before merge.</t>
  </si>
  <si>
    <t>Quiz 6; A6</t>
  </si>
  <si>
    <t>Four-checkpoint workflow (codeongrass)</t>
  </si>
  <si>
    <t>M33</t>
  </si>
  <si>
    <t>Identify common AI code failure modes in a real diff: hallucinated imports, redundant logic, architectural drift, security gaps, style drift, happy-path-only error handling.</t>
  </si>
  <si>
    <t>Warp: Review AI-generated code</t>
  </si>
  <si>
    <t>M34</t>
  </si>
  <si>
    <t>Use /code-review on a PR and interpret multi-agent findings, distinguishing verified issues from noise.</t>
  </si>
  <si>
    <t>code.claude.com Code Review docs</t>
  </si>
  <si>
    <t>M35</t>
  </si>
  <si>
    <t>Collaboration</t>
  </si>
  <si>
    <t>Write structured, actionable PR review comments that a peer (or an agent) can act on without further clarification.</t>
  </si>
  <si>
    <t>Assignment A6 (pair)</t>
  </si>
  <si>
    <t>M36</t>
  </si>
  <si>
    <t>Explain why ‘understanding the changes is what it means to own your code,’ and what review depth is proportionate to how little a run was supervised.</t>
  </si>
  <si>
    <t>Quiz 6</t>
  </si>
  <si>
    <t>Qiao; Claude Code in Action: Verify</t>
  </si>
  <si>
    <t>M37</t>
  </si>
  <si>
    <t>Customization</t>
  </si>
  <si>
    <t>Explain what a skill is (SKILL.md: frontmatter description + instructions), how lazy loading works, and how skills differ from CLAUDE.md content and slash commands.</t>
  </si>
  <si>
    <t>Quiz 7</t>
  </si>
  <si>
    <t>code.claude.com Skills docs</t>
  </si>
  <si>
    <t>M38</t>
  </si>
  <si>
    <t>Write a personal skill that encodes a repeatable procedure (e.g., a review checklist or explain-code routine) and demonstrate Claude invoking it.</t>
  </si>
  <si>
    <t>Assignment A7</t>
  </si>
  <si>
    <t>code.claude.com Skills docs; mattpocock/skills</t>
  </si>
  <si>
    <t>M39</t>
  </si>
  <si>
    <t>Evaluate community skills (e.g., mattpocock/skills, explain-code) for adoption: what problem each solves and its token cost.</t>
  </si>
  <si>
    <t>Meeting 7 exercise</t>
  </si>
  <si>
    <t>mattpocock/skills README</t>
  </si>
  <si>
    <t>M40</t>
  </si>
  <si>
    <t>Learning</t>
  </si>
  <si>
    <t>Use the Explanatory/Learning output style plugin and describe how insight blocks and TODO(human) markers change the learning dynamic.</t>
  </si>
  <si>
    <t>anthropics/claude-code learning-output-style</t>
  </si>
  <si>
    <t>M41</t>
  </si>
  <si>
    <t>Distinguish when to reach for CLAUDE.md vs. a skill vs. a hook vs. a subagent for a given need.</t>
  </si>
  <si>
    <t>M42</t>
  </si>
  <si>
    <t>Describe bundled skills (/code-review, /debug, etc.) and invocation controls (user-invocable, disable-model-invocation).</t>
  </si>
  <si>
    <t>M43</t>
  </si>
  <si>
    <t>Scaling</t>
  </si>
  <si>
    <t>Explain subagents: why delegating exploration or review to a subagent protects the main context window.</t>
  </si>
  <si>
    <t>Quiz 8</t>
  </si>
  <si>
    <t>code.claude.com Subagents docs</t>
  </si>
  <si>
    <t>M44</t>
  </si>
  <si>
    <t>Describe autonomous loop patterns (AFK/Ralph loops: one issue per fresh session in a loop) and the preconditions that make them safe — curated issues, tests, small slices.</t>
  </si>
  <si>
    <t>Pocock: real-world feature build; Ettema</t>
  </si>
  <si>
    <t>M45</t>
  </si>
  <si>
    <t>Run a scoped two-issue batch with explicit boundaries on files and behavior, then verify results proportionally.</t>
  </si>
  <si>
    <t>Assignment A8</t>
  </si>
  <si>
    <t>Claude Code in Action: Verify (Skilljar)</t>
  </si>
  <si>
    <t>M46</t>
  </si>
  <si>
    <t>Economics</t>
  </si>
  <si>
    <t>Track Claude Pro usage across a working week and identify which activities consume the budget fastest.</t>
  </si>
  <si>
    <t>Assignment A8 memo</t>
  </si>
  <si>
    <t>Anthropic Help Center: Pro usage</t>
  </si>
  <si>
    <t>M47</t>
  </si>
  <si>
    <t>Argue, with evidence from their own sessions, when added autonomy is and is not worth its cost on a Pro budget.</t>
  </si>
  <si>
    <t>M48</t>
  </si>
  <si>
    <t>Explain hooks as enforcement of non-negotiable rules (e.g., gating a turn on real test results).</t>
  </si>
  <si>
    <t>M49</t>
  </si>
  <si>
    <t>Quality</t>
  </si>
  <si>
    <t>Add tests that freeze intended behavior of core logic, prioritizing input normalization and edge cases the agent skipped.</t>
  </si>
  <si>
    <t>Assignment A9</t>
  </si>
  <si>
    <t>AI code review checklist (DEV)</t>
  </si>
  <si>
    <t>M50</t>
  </si>
  <si>
    <t>Run an automated review pass (code review / security-focused prompt) on their own project and triage findings by severity.</t>
  </si>
  <si>
    <t>M51</t>
  </si>
  <si>
    <t>Security</t>
  </si>
  <si>
    <t>Check a repository for hardcoded secrets and missing input validation; explain why agents introduce these gaps.</t>
  </si>
  <si>
    <t>Quiz 9; A9</t>
  </si>
  <si>
    <t>Warp guide; GitHub secret scanning docs</t>
  </si>
  <si>
    <t>M52</t>
  </si>
  <si>
    <t>Wire one enforcement mechanism (hook or CI check) so tests must pass before work is accepted.</t>
  </si>
  <si>
    <t>M53</t>
  </si>
  <si>
    <t>Prioritize a finite hardening budget: which findings to fix now, defer, or accept, with written rationale.</t>
  </si>
  <si>
    <t>M54</t>
  </si>
  <si>
    <t>Explain why disciplined engineering practices are amplified, not obsoleted, by agents (‘compound leverage vs. compound dysfunction’).</t>
  </si>
  <si>
    <t>Quiz 9</t>
  </si>
  <si>
    <t>Pocock workshop framing</t>
  </si>
  <si>
    <t>M55</t>
  </si>
  <si>
    <t>Shipping</t>
  </si>
  <si>
    <t>Ship the capstone: README, passing tests, closed issues, and a tagged release or deployed artifact.</t>
  </si>
  <si>
    <t>Capstone</t>
  </si>
  <si>
    <t>Course project</t>
  </si>
  <si>
    <t>M56</t>
  </si>
  <si>
    <t>Reflection</t>
  </si>
  <si>
    <t>Write a Personal Agentic Workflow Playbook: their CLAUDE.md conventions, skills, and spec→build→review process, with rationale for each choice.</t>
  </si>
  <si>
    <t>Capstone playbook</t>
  </si>
  <si>
    <t>Whole-course synthesis</t>
  </si>
  <si>
    <t>M57</t>
  </si>
  <si>
    <t>Communication</t>
  </si>
  <si>
    <t>Demo the project in 5 minutes, narrating which work was specified, delegated, and reviewed — and what they would delegate differently next time.</t>
  </si>
  <si>
    <t>Final meeting demo</t>
  </si>
  <si>
    <t>M58</t>
  </si>
  <si>
    <t>Sharing</t>
  </si>
  <si>
    <t>Explain how a trusted setup is packaged for a team (plugins, shared CLAUDE.md, shared skills) even if not fully implemented.</t>
  </si>
  <si>
    <t>Quiz 10</t>
  </si>
  <si>
    <t>Claude Code in Action: Verify and Share (Skilljar)</t>
  </si>
  <si>
    <t>M59</t>
  </si>
  <si>
    <t>Assess their own remaining skill gaps and name the next two capabilities to practice after the course.</t>
  </si>
  <si>
    <t>M60</t>
  </si>
  <si>
    <t>Articulate a personal definition of responsible ‘AI labor’ use: what they will always specify, always review, and never delegate.</t>
  </si>
  <si>
    <t>Theme</t>
  </si>
  <si>
    <t>Readings (verify links at build time)</t>
  </si>
  <si>
    <t>Video(s)</t>
  </si>
  <si>
    <t>Assignment</t>
  </si>
  <si>
    <t>Est. Hours</t>
  </si>
  <si>
    <t># Objectives</t>
  </si>
  <si>
    <t>Orientation: What Is AI Labor?</t>
  </si>
  <si>
    <t>code.claude.com: Overview + Quickstart · Anthropic Engineering: Claude Code best practices (§1–2) · Skilljar: Claude Code 101 (modules 1–2)</t>
  </si>
  <si>
    <t>‘Mastering Claude Code in 30 minutes’ (Boris Cherny, Anthropic YouTube)</t>
  </si>
  <si>
    <t>A1: Install Claude Code; create repo; /init; complete one small task end-to-end; commit; 5-sentence reflection on human vs. agent decisions.</t>
  </si>
  <si>
    <t>3.5–4.5</t>
  </si>
  <si>
    <t>Context: The Smart Zone</t>
  </si>
  <si>
    <t>code.claude.com: How Claude remembers your project (CLAUDE.md, auto memory) · aihero.dev: smart zone/dumb zone · aihero.dev: /clear vs /compact (memento principle) · Skilljar: Claude Code in Action — Steer the Work</t>
  </si>
  <si>
    <t>Skilljar Steer the Work module videos</t>
  </si>
  <si>
    <t>A2: Write a lean CLAUDE.md (&lt;100 lines); run the same task in fresh vs. polluted sessions; practice plan mode, /clear, rewind; write up the difference.</t>
  </si>
  <si>
    <t>Specification I: Grill Sessions &amp; PRDs</t>
  </si>
  <si>
    <t>aihero.dev: the grill-me skill · aihero.dev: PRD workflow posts · Anthropic best practices: give Claude a target</t>
  </si>
  <si>
    <t>‘Real-world feature build with Claude Code’ (Pocock, aihero.dev) — grill + PRD segments</t>
  </si>
  <si>
    <t>A3: Run a grill session for the course project idea; produce a 1–2 page PRD with goals, non-goals, user stories, acceptance criteria. Peer PRD critique at meeting.</t>
  </si>
  <si>
    <t>GitHub for Agentic Work (ancillary)</t>
  </si>
  <si>
    <t>GitHub Docs: About branches · About issues · About pull requests · Anthropic best practices: git workflows</t>
  </si>
  <si>
    <t>GitHub official/freeCodeCamp branches &amp; PRs primer (select one)</t>
  </si>
  <si>
    <t>A4: Decompose the PRD into 6–10 vertical-slice issues with acceptance criteria; label and sequence them; use Claude + gh CLI to file them; adopt branch-per-issue.</t>
  </si>
  <si>
    <t>3.0–4.0</t>
  </si>
  <si>
    <t>Execution: Plan-First &amp; Test-First</t>
  </si>
  <si>
    <t>code.claude.com: Common workflows · Plan mode · Anthropic best practices: Explore–Plan–Code–Commit · aihero.dev: TDD feedback loops</t>
  </si>
  <si>
    <t>Pocock feature build — implementation segments</t>
  </si>
  <si>
    <t>A5: Implement 2 issues, each in its own fresh session: plan approved first, failing tests first, then green; one PR per issue.</t>
  </si>
  <si>
    <t>4.0–5.0</t>
  </si>
  <si>
    <t>Review: Owning the Diff</t>
  </si>
  <si>
    <t>code.claude.com: Code Review (/code-review) · Qiao: Claude Code /diff · Warp: Review AI-generated code · Four-checkpoint review workflow</t>
  </si>
  <si>
    <t>Short demo video of /diff and /code-review (Anthropic or community; verify)</t>
  </si>
  <si>
    <t>A6 (pairs): Review partner's PR against the failure-mode checklist; write structured comments; author directs Claude to address them; merge. Both roles graded.</t>
  </si>
  <si>
    <t>Customization: Skills &amp; Output Styles</t>
  </si>
  <si>
    <t>code.claude.com: Extend Claude with skills · Skilljar: Claude Code in Action — Configure Claude · mattpocock/skills README · anthropics/claude-code learning-output-style plugin</t>
  </si>
  <si>
    <t>Pocock or community walkthrough of writing a skill (verify)</t>
  </si>
  <si>
    <t>A7: Write one personal SKILL.md encoding a repeatable procedure (e.g., your review checklist); demonstrate invocation; try Learning output style on one task; share at meeting.</t>
  </si>
  <si>
    <t>Scaling: Subagents, Loops, Limits</t>
  </si>
  <si>
    <t>code.claude.com: Subagents · Hooks (intro) · aihero.dev / Ettema: AFK (Ralph) loop pattern · Anthropic Help: Pro plan usage</t>
  </si>
  <si>
    <t>Pocock AI Engineer 2026 workshop — AFK/parallel segments</t>
  </si>
  <si>
    <t>A8: Run a scoped two-issue batch with explicit boundaries; log usage for the week; write a 1-page memo on when autonomy is worth its cost on a Pro budget.</t>
  </si>
  <si>
    <t>Quality: Tests, Security, Hardening</t>
  </si>
  <si>
    <t>Warp guide (security gaps) · GitHub Docs: secret scanning · code.claude.com: Code Review verification · practitioner checklist (DEV: Cursor+Claude review checklist)</t>
  </si>
  <si>
    <t>Anthropic hardening/defensive-coding talk or post walkthrough (verify)</t>
  </si>
  <si>
    <t>A9: Harden the project: add tests freezing core behavior; run a review pass; fix top findings; add one hook or CI gate requiring green tests.</t>
  </si>
  <si>
    <t>Capstone: Ship &amp; Playbook</t>
  </si>
  <si>
    <t>Skilljar: Claude Code in Action — Verify and Share · code.claude.com: plugins (skim)</t>
  </si>
  <si>
    <t>None (build week)</t>
  </si>
  <si>
    <t>A10: Ship (README, tests passing, issues closed); write the Personal Agentic Workflow Playbook (2–3 pages); 5-minute demo at final meeting.</t>
  </si>
  <si>
    <t>Total</t>
  </si>
  <si>
    <t>Tier</t>
  </si>
  <si>
    <t>Source</t>
  </si>
  <si>
    <t>URL / Locator</t>
  </si>
  <si>
    <t>Used In Weeks</t>
  </si>
  <si>
    <t>Notes</t>
  </si>
  <si>
    <t>1 — Anthropic</t>
  </si>
  <si>
    <t>Claude Code docs: Overview &amp; Quickstart</t>
  </si>
  <si>
    <t>https://code.claude.com/docs/en/overview · /quickstart</t>
  </si>
  <si>
    <t>1</t>
  </si>
  <si>
    <t>Canonical setup and mental model.</t>
  </si>
  <si>
    <t>Claude Code docs: Memory (CLAUDE.md, auto memory)</t>
  </si>
  <si>
    <t>https://code.claude.com/docs/en/memory</t>
  </si>
  <si>
    <t>2</t>
  </si>
  <si>
    <t>Scope hierarchy; when to use skills instead.</t>
  </si>
  <si>
    <t>Claude Code docs: Common workflows; Plan mode</t>
  </si>
  <si>
    <t>https://code.claude.com/docs/en/common-workflows</t>
  </si>
  <si>
    <t>5</t>
  </si>
  <si>
    <t>Explore–Plan–Code–Commit in tool terms.</t>
  </si>
  <si>
    <t>Claude Code docs: Code Review</t>
  </si>
  <si>
    <t>https://code.claude.com/docs/en/code-review</t>
  </si>
  <si>
    <t>6, 9</t>
  </si>
  <si>
    <t>Multi-agent review + verification step.</t>
  </si>
  <si>
    <t>Claude Code docs: Skills</t>
  </si>
  <si>
    <t>https://code.claude.com/docs/en/skills</t>
  </si>
  <si>
    <t>7</t>
  </si>
  <si>
    <t>SKILL.md format; bundled skills; invocation controls.</t>
  </si>
  <si>
    <t>Claude Code docs: Subagents; Hooks</t>
  </si>
  <si>
    <t>https://code.claude.com/docs/en/... (subagents, hooks)</t>
  </si>
  <si>
    <t>8, 9</t>
  </si>
  <si>
    <t>Context protection; rule enforcement.</t>
  </si>
  <si>
    <t>Engineering blog: Claude Code best practices (Cherny)</t>
  </si>
  <si>
    <t>https://www.anthropic.com/engineering/claude-code-best-practices</t>
  </si>
  <si>
    <t>1, 3, 4, 5</t>
  </si>
  <si>
    <t>Foundational patterns; assign in sections.</t>
  </si>
  <si>
    <t>Research: How Claude Code is used in practice</t>
  </si>
  <si>
    <t>https://www.anthropic.com/research/claude-code-expertise</t>
  </si>
  <si>
    <t>Framing for the AI-labor outcome: humans plan, agents execute.</t>
  </si>
  <si>
    <t>Anthropic Academy: Claude Code 101</t>
  </si>
  <si>
    <t>https://anthropic.skilljar.com (Claude Code 101)</t>
  </si>
  <si>
    <t>Requires Pro plan or API key for hands-on — students qualify.</t>
  </si>
  <si>
    <t>Anthropic Academy: Claude Code in Action</t>
  </si>
  <si>
    <t>https://anthropic.skilljar.com/claude-code-in-action</t>
  </si>
  <si>
    <t>2, 5, 7, 8, 10</t>
  </si>
  <si>
    <t>Modules: Steer the Work; Configure; Automate; Verify and Share.</t>
  </si>
  <si>
    <t>anthropics/claude-code: learning-output-style plugin</t>
  </si>
  <si>
    <t>https://github.com/anthropics/claude-code (plugins/)</t>
  </si>
  <si>
    <t>Insight blocks + TODO(human) markers.</t>
  </si>
  <si>
    <t>2 — Pocock/AI Hero</t>
  </si>
  <si>
    <t>aihero.dev posts: grill-me; PRD workflow; smart/dumb zone; TDD loops</t>
  </si>
  <si>
    <t>https://www.aihero.dev/posts</t>
  </si>
  <si>
    <t>2, 3, 5</t>
  </si>
  <si>
    <t>His CURRENT workflow; re-verify at build time — he iterates fast.</t>
  </si>
  <si>
    <t>Video: Real-world feature build with Claude Code</t>
  </si>
  <si>
    <t>https://www.aihero.dev/real-world-feature-build-with-claude-code</t>
  </si>
  <si>
    <t>3, 5, 8</t>
  </si>
  <si>
    <t>End-to-end: grill → PRD → issues → loops → QA.</t>
  </si>
  <si>
    <t>AI Engineer 2026 workshop: Full Walkthrough — Workflow for AI Coding</t>
  </si>
  <si>
    <t>YouTube: AI Engineer channel (verify link)</t>
  </si>
  <si>
    <t>2, 8</t>
  </si>
  <si>
    <t>Brief → PRD → Kanban → AFK implementation; ~2 hrs, assign segments.</t>
  </si>
  <si>
    <t>mattpocock/skills repo</t>
  </si>
  <si>
    <t>https://github.com/mattpocock/skills</t>
  </si>
  <si>
    <t>Composable workflow skills incl. phase-gated TDD.</t>
  </si>
  <si>
    <t>3 — Practitioner</t>
  </si>
  <si>
    <t>https://docs.warp.dev/guides/agent-workflows/how-to-review-ai-generated-code/</t>
  </si>
  <si>
    <t>Failure-mode taxonomy — basis of review checklist.</t>
  </si>
  <si>
    <t>Qiao: Claude Code /diff</t>
  </si>
  <si>
    <t>https://blog.vincentqiao.com/en/posts/claude-code-diff/</t>
  </si>
  <si>
    <t>6</t>
  </si>
  <si>
    <t>Per-turn diff review habit.</t>
  </si>
  <si>
    <t>Four-checkpoint review workflow</t>
  </si>
  <si>
    <t>https://codeongrass.com/blog/how-to-review-ai-generated-code-faster-than-you-can-read/</t>
  </si>
  <si>
    <t>Scope → gates → diff → tests.</t>
  </si>
  <si>
    <t>DEV: Cursor + Claude AI code review checklist</t>
  </si>
  <si>
    <t>https://dev.to/sathish_daggula/... (review checklist)</t>
  </si>
  <si>
    <t>9</t>
  </si>
  <si>
    <t>Tests-freeze-behavior; secret scan; landmine log.</t>
  </si>
  <si>
    <t>Ancillary</t>
  </si>
  <si>
    <t>GitHub Docs: branches, issues, pull requests, secret scanning</t>
  </si>
  <si>
    <t>https://docs.github.com</t>
  </si>
  <si>
    <t>1, 4, 9</t>
  </si>
  <si>
    <t>Ancillary Git/GitHub material.</t>
  </si>
  <si>
    <t>Anthropic Help Center: Pro plan usage limits</t>
  </si>
  <si>
    <t>https://support.claude.com</t>
  </si>
  <si>
    <t>8</t>
  </si>
  <si>
    <t>Budget-aware session design; verify current limits at build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</si>
</sst>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5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/>
  </sheetViews>
  <sheetFormatPr defaultColWidth="8.6640625" defaultRowHeight="14.25" x14ac:dyDescent="0.45"/>
  <cols>
    <col min="1" max="1" width="30" customWidth="1"/>
    <col min="2" max="2" width="88" customWidth="1"/>
  </cols>
  <sheetData>
    <row r="1" spans="1:2" ht="18.75" x14ac:dyDescent="0.5">
      <c r="A1" s="2" t="s">
        <v>0</v>
      </c>
    </row>
    <row r="3" spans="1:2" ht="38.25" x14ac:dyDescent="0.45">
      <c r="A3" s="3" t="s">
        <v>1</v>
      </c>
      <c r="B3" s="4" t="s">
        <v>2</v>
      </c>
    </row>
    <row r="4" spans="1:2" ht="25.5" x14ac:dyDescent="0.45">
      <c r="A4" s="3" t="s">
        <v>3</v>
      </c>
      <c r="B4" s="4" t="s">
        <v>4</v>
      </c>
    </row>
    <row r="5" spans="1:2" ht="38.25" x14ac:dyDescent="0.45">
      <c r="A5" s="3" t="s">
        <v>5</v>
      </c>
      <c r="B5" s="4" t="s">
        <v>6</v>
      </c>
    </row>
    <row r="6" spans="1:2" ht="51" x14ac:dyDescent="0.45">
      <c r="A6" s="3" t="s">
        <v>7</v>
      </c>
      <c r="B6" s="4" t="s">
        <v>8</v>
      </c>
    </row>
    <row r="7" spans="1:2" ht="25.5" x14ac:dyDescent="0.45">
      <c r="A7" s="3" t="s">
        <v>9</v>
      </c>
      <c r="B7" s="4" t="s">
        <v>10</v>
      </c>
    </row>
    <row r="8" spans="1:2" x14ac:dyDescent="0.45">
      <c r="A8" s="3" t="s">
        <v>11</v>
      </c>
      <c r="B8" s="4" t="s">
        <v>12</v>
      </c>
    </row>
    <row r="9" spans="1:2" x14ac:dyDescent="0.45">
      <c r="A9" s="3" t="s">
        <v>13</v>
      </c>
      <c r="B9" s="5">
        <f>COUNTA(Objectives!A2:A200)</f>
        <v>60</v>
      </c>
    </row>
    <row r="11" spans="1:2" ht="30" customHeight="1" x14ac:dyDescent="0.45">
      <c r="A11" s="1" t="s">
        <v>14</v>
      </c>
      <c r="B11" s="1"/>
    </row>
  </sheetData>
  <mergeCells count="1">
    <mergeCell ref="A11:B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7" customWidth="1"/>
    <col min="3" max="3" width="22" customWidth="1"/>
    <col min="4" max="4" width="72" customWidth="1"/>
    <col min="5" max="5" width="13" customWidth="1"/>
    <col min="6" max="6" width="22" customWidth="1"/>
    <col min="7" max="7" width="40" customWidth="1"/>
  </cols>
  <sheetData>
    <row r="1" spans="1:7" x14ac:dyDescent="0.4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 ht="25.5" x14ac:dyDescent="0.45">
      <c r="A2" s="7" t="s">
        <v>22</v>
      </c>
      <c r="B2" s="7">
        <v>1</v>
      </c>
      <c r="C2" s="4" t="s">
        <v>23</v>
      </c>
      <c r="D2" s="4" t="s">
        <v>24</v>
      </c>
      <c r="E2" s="7" t="s">
        <v>25</v>
      </c>
      <c r="F2" s="4" t="s">
        <v>26</v>
      </c>
      <c r="G2" s="4" t="s">
        <v>27</v>
      </c>
    </row>
    <row r="3" spans="1:7" ht="25.5" x14ac:dyDescent="0.45">
      <c r="A3" s="7" t="s">
        <v>28</v>
      </c>
      <c r="B3" s="7">
        <v>1</v>
      </c>
      <c r="C3" s="4" t="s">
        <v>23</v>
      </c>
      <c r="D3" s="4" t="s">
        <v>29</v>
      </c>
      <c r="E3" s="7" t="s">
        <v>30</v>
      </c>
      <c r="F3" s="4" t="s">
        <v>31</v>
      </c>
      <c r="G3" s="4" t="s">
        <v>32</v>
      </c>
    </row>
    <row r="4" spans="1:7" ht="25.5" x14ac:dyDescent="0.45">
      <c r="A4" s="7" t="s">
        <v>33</v>
      </c>
      <c r="B4" s="7">
        <v>1</v>
      </c>
      <c r="C4" s="4" t="s">
        <v>34</v>
      </c>
      <c r="D4" s="4" t="s">
        <v>35</v>
      </c>
      <c r="E4" s="7" t="s">
        <v>36</v>
      </c>
      <c r="F4" s="4" t="s">
        <v>37</v>
      </c>
      <c r="G4" s="4" t="s">
        <v>38</v>
      </c>
    </row>
    <row r="5" spans="1:7" ht="25.5" x14ac:dyDescent="0.45">
      <c r="A5" s="7" t="s">
        <v>39</v>
      </c>
      <c r="B5" s="7">
        <v>1</v>
      </c>
      <c r="C5" s="4" t="s">
        <v>34</v>
      </c>
      <c r="D5" s="4" t="s">
        <v>40</v>
      </c>
      <c r="E5" s="7" t="s">
        <v>36</v>
      </c>
      <c r="F5" s="4" t="s">
        <v>37</v>
      </c>
      <c r="G5" s="4" t="s">
        <v>41</v>
      </c>
    </row>
    <row r="6" spans="1:7" ht="25.5" x14ac:dyDescent="0.45">
      <c r="A6" s="7" t="s">
        <v>42</v>
      </c>
      <c r="B6" s="7">
        <v>1</v>
      </c>
      <c r="C6" s="4" t="s">
        <v>43</v>
      </c>
      <c r="D6" s="4" t="s">
        <v>44</v>
      </c>
      <c r="E6" s="7" t="s">
        <v>30</v>
      </c>
      <c r="F6" s="4" t="s">
        <v>45</v>
      </c>
      <c r="G6" s="4" t="s">
        <v>32</v>
      </c>
    </row>
    <row r="7" spans="1:7" ht="25.5" x14ac:dyDescent="0.45">
      <c r="A7" s="7" t="s">
        <v>46</v>
      </c>
      <c r="B7" s="7">
        <v>1</v>
      </c>
      <c r="C7" s="4" t="s">
        <v>47</v>
      </c>
      <c r="D7" s="4" t="s">
        <v>48</v>
      </c>
      <c r="E7" s="7" t="s">
        <v>36</v>
      </c>
      <c r="F7" s="4" t="s">
        <v>37</v>
      </c>
      <c r="G7" s="4" t="s">
        <v>49</v>
      </c>
    </row>
    <row r="8" spans="1:7" ht="25.5" x14ac:dyDescent="0.45">
      <c r="A8" s="8" t="s">
        <v>50</v>
      </c>
      <c r="B8" s="8">
        <v>2</v>
      </c>
      <c r="C8" s="9" t="s">
        <v>51</v>
      </c>
      <c r="D8" s="9" t="s">
        <v>52</v>
      </c>
      <c r="E8" s="8" t="s">
        <v>25</v>
      </c>
      <c r="F8" s="9" t="s">
        <v>53</v>
      </c>
      <c r="G8" s="9" t="s">
        <v>54</v>
      </c>
    </row>
    <row r="9" spans="1:7" ht="25.5" x14ac:dyDescent="0.45">
      <c r="A9" s="8" t="s">
        <v>55</v>
      </c>
      <c r="B9" s="8">
        <v>2</v>
      </c>
      <c r="C9" s="9" t="s">
        <v>51</v>
      </c>
      <c r="D9" s="9" t="s">
        <v>56</v>
      </c>
      <c r="E9" s="8" t="s">
        <v>36</v>
      </c>
      <c r="F9" s="9" t="s">
        <v>57</v>
      </c>
      <c r="G9" s="9" t="s">
        <v>58</v>
      </c>
    </row>
    <row r="10" spans="1:7" ht="25.5" x14ac:dyDescent="0.45">
      <c r="A10" s="8" t="s">
        <v>59</v>
      </c>
      <c r="B10" s="8">
        <v>2</v>
      </c>
      <c r="C10" s="9" t="s">
        <v>60</v>
      </c>
      <c r="D10" s="9" t="s">
        <v>61</v>
      </c>
      <c r="E10" s="8" t="s">
        <v>62</v>
      </c>
      <c r="F10" s="9" t="s">
        <v>63</v>
      </c>
      <c r="G10" s="9" t="s">
        <v>64</v>
      </c>
    </row>
    <row r="11" spans="1:7" ht="25.5" x14ac:dyDescent="0.45">
      <c r="A11" s="8" t="s">
        <v>65</v>
      </c>
      <c r="B11" s="8">
        <v>2</v>
      </c>
      <c r="C11" s="9" t="s">
        <v>60</v>
      </c>
      <c r="D11" s="9" t="s">
        <v>66</v>
      </c>
      <c r="E11" s="8" t="s">
        <v>25</v>
      </c>
      <c r="F11" s="9" t="s">
        <v>53</v>
      </c>
      <c r="G11" s="9" t="s">
        <v>64</v>
      </c>
    </row>
    <row r="12" spans="1:7" ht="25.5" x14ac:dyDescent="0.45">
      <c r="A12" s="8" t="s">
        <v>67</v>
      </c>
      <c r="B12" s="8">
        <v>2</v>
      </c>
      <c r="C12" s="9" t="s">
        <v>68</v>
      </c>
      <c r="D12" s="9" t="s">
        <v>69</v>
      </c>
      <c r="E12" s="8" t="s">
        <v>36</v>
      </c>
      <c r="F12" s="9" t="s">
        <v>63</v>
      </c>
      <c r="G12" s="9" t="s">
        <v>70</v>
      </c>
    </row>
    <row r="13" spans="1:7" ht="25.5" x14ac:dyDescent="0.45">
      <c r="A13" s="8" t="s">
        <v>71</v>
      </c>
      <c r="B13" s="8">
        <v>2</v>
      </c>
      <c r="C13" s="9" t="s">
        <v>72</v>
      </c>
      <c r="D13" s="9" t="s">
        <v>73</v>
      </c>
      <c r="E13" s="8" t="s">
        <v>74</v>
      </c>
      <c r="F13" s="9" t="s">
        <v>63</v>
      </c>
      <c r="G13" s="9" t="s">
        <v>75</v>
      </c>
    </row>
    <row r="14" spans="1:7" ht="25.5" x14ac:dyDescent="0.45">
      <c r="A14" s="7" t="s">
        <v>76</v>
      </c>
      <c r="B14" s="7">
        <v>3</v>
      </c>
      <c r="C14" s="4" t="s">
        <v>77</v>
      </c>
      <c r="D14" s="4" t="s">
        <v>78</v>
      </c>
      <c r="E14" s="7" t="s">
        <v>25</v>
      </c>
      <c r="F14" s="4" t="s">
        <v>79</v>
      </c>
      <c r="G14" s="4" t="s">
        <v>80</v>
      </c>
    </row>
    <row r="15" spans="1:7" ht="25.5" x14ac:dyDescent="0.45">
      <c r="A15" s="7" t="s">
        <v>81</v>
      </c>
      <c r="B15" s="7">
        <v>3</v>
      </c>
      <c r="C15" s="4" t="s">
        <v>77</v>
      </c>
      <c r="D15" s="4" t="s">
        <v>82</v>
      </c>
      <c r="E15" s="7" t="s">
        <v>36</v>
      </c>
      <c r="F15" s="4" t="s">
        <v>83</v>
      </c>
      <c r="G15" s="4" t="s">
        <v>80</v>
      </c>
    </row>
    <row r="16" spans="1:7" ht="25.5" x14ac:dyDescent="0.45">
      <c r="A16" s="7" t="s">
        <v>84</v>
      </c>
      <c r="B16" s="7">
        <v>3</v>
      </c>
      <c r="C16" s="4" t="s">
        <v>77</v>
      </c>
      <c r="D16" s="4" t="s">
        <v>85</v>
      </c>
      <c r="E16" s="7" t="s">
        <v>62</v>
      </c>
      <c r="F16" s="4" t="s">
        <v>83</v>
      </c>
      <c r="G16" s="4" t="s">
        <v>86</v>
      </c>
    </row>
    <row r="17" spans="1:7" ht="25.5" x14ac:dyDescent="0.45">
      <c r="A17" s="7" t="s">
        <v>87</v>
      </c>
      <c r="B17" s="7">
        <v>3</v>
      </c>
      <c r="C17" s="4" t="s">
        <v>77</v>
      </c>
      <c r="D17" s="4" t="s">
        <v>88</v>
      </c>
      <c r="E17" s="7" t="s">
        <v>25</v>
      </c>
      <c r="F17" s="4" t="s">
        <v>79</v>
      </c>
      <c r="G17" s="4" t="s">
        <v>58</v>
      </c>
    </row>
    <row r="18" spans="1:7" x14ac:dyDescent="0.45">
      <c r="A18" s="7" t="s">
        <v>89</v>
      </c>
      <c r="B18" s="7">
        <v>3</v>
      </c>
      <c r="C18" s="4" t="s">
        <v>43</v>
      </c>
      <c r="D18" s="4" t="s">
        <v>90</v>
      </c>
      <c r="E18" s="7" t="s">
        <v>74</v>
      </c>
      <c r="F18" s="4" t="s">
        <v>91</v>
      </c>
      <c r="G18" s="4" t="s">
        <v>75</v>
      </c>
    </row>
    <row r="19" spans="1:7" ht="25.5" x14ac:dyDescent="0.45">
      <c r="A19" s="7" t="s">
        <v>92</v>
      </c>
      <c r="B19" s="7">
        <v>3</v>
      </c>
      <c r="C19" s="4" t="s">
        <v>23</v>
      </c>
      <c r="D19" s="4" t="s">
        <v>93</v>
      </c>
      <c r="E19" s="7" t="s">
        <v>25</v>
      </c>
      <c r="F19" s="4" t="s">
        <v>79</v>
      </c>
      <c r="G19" s="4" t="s">
        <v>94</v>
      </c>
    </row>
    <row r="20" spans="1:7" ht="25.5" x14ac:dyDescent="0.45">
      <c r="A20" s="8" t="s">
        <v>95</v>
      </c>
      <c r="B20" s="8">
        <v>4</v>
      </c>
      <c r="C20" s="9" t="s">
        <v>96</v>
      </c>
      <c r="D20" s="9" t="s">
        <v>97</v>
      </c>
      <c r="E20" s="8" t="s">
        <v>36</v>
      </c>
      <c r="F20" s="9" t="s">
        <v>98</v>
      </c>
      <c r="G20" s="9" t="s">
        <v>99</v>
      </c>
    </row>
    <row r="21" spans="1:7" ht="25.5" x14ac:dyDescent="0.45">
      <c r="A21" s="8" t="s">
        <v>100</v>
      </c>
      <c r="B21" s="8">
        <v>4</v>
      </c>
      <c r="C21" s="9" t="s">
        <v>96</v>
      </c>
      <c r="D21" s="9" t="s">
        <v>101</v>
      </c>
      <c r="E21" s="8" t="s">
        <v>36</v>
      </c>
      <c r="F21" s="9" t="s">
        <v>102</v>
      </c>
      <c r="G21" s="9" t="s">
        <v>103</v>
      </c>
    </row>
    <row r="22" spans="1:7" ht="25.5" x14ac:dyDescent="0.45">
      <c r="A22" s="8" t="s">
        <v>104</v>
      </c>
      <c r="B22" s="8">
        <v>4</v>
      </c>
      <c r="C22" s="9" t="s">
        <v>105</v>
      </c>
      <c r="D22" s="9" t="s">
        <v>106</v>
      </c>
      <c r="E22" s="8" t="s">
        <v>62</v>
      </c>
      <c r="F22" s="9" t="s">
        <v>102</v>
      </c>
      <c r="G22" s="9" t="s">
        <v>107</v>
      </c>
    </row>
    <row r="23" spans="1:7" ht="25.5" x14ac:dyDescent="0.45">
      <c r="A23" s="8" t="s">
        <v>108</v>
      </c>
      <c r="B23" s="8">
        <v>4</v>
      </c>
      <c r="C23" s="9" t="s">
        <v>105</v>
      </c>
      <c r="D23" s="9" t="s">
        <v>109</v>
      </c>
      <c r="E23" s="8" t="s">
        <v>74</v>
      </c>
      <c r="F23" s="9" t="s">
        <v>102</v>
      </c>
      <c r="G23" s="9" t="s">
        <v>58</v>
      </c>
    </row>
    <row r="24" spans="1:7" ht="25.5" x14ac:dyDescent="0.45">
      <c r="A24" s="8" t="s">
        <v>110</v>
      </c>
      <c r="B24" s="8">
        <v>4</v>
      </c>
      <c r="C24" s="9" t="s">
        <v>5</v>
      </c>
      <c r="D24" s="9" t="s">
        <v>111</v>
      </c>
      <c r="E24" s="8" t="s">
        <v>36</v>
      </c>
      <c r="F24" s="9" t="s">
        <v>102</v>
      </c>
      <c r="G24" s="9" t="s">
        <v>112</v>
      </c>
    </row>
    <row r="25" spans="1:7" ht="25.5" x14ac:dyDescent="0.45">
      <c r="A25" s="8" t="s">
        <v>113</v>
      </c>
      <c r="B25" s="8">
        <v>4</v>
      </c>
      <c r="C25" s="9" t="s">
        <v>43</v>
      </c>
      <c r="D25" s="9" t="s">
        <v>114</v>
      </c>
      <c r="E25" s="8" t="s">
        <v>25</v>
      </c>
      <c r="F25" s="9" t="s">
        <v>115</v>
      </c>
      <c r="G25" s="9" t="s">
        <v>116</v>
      </c>
    </row>
    <row r="26" spans="1:7" ht="25.5" x14ac:dyDescent="0.45">
      <c r="A26" s="7" t="s">
        <v>117</v>
      </c>
      <c r="B26" s="7">
        <v>5</v>
      </c>
      <c r="C26" s="4" t="s">
        <v>118</v>
      </c>
      <c r="D26" s="4" t="s">
        <v>119</v>
      </c>
      <c r="E26" s="7" t="s">
        <v>36</v>
      </c>
      <c r="F26" s="4" t="s">
        <v>120</v>
      </c>
      <c r="G26" s="4" t="s">
        <v>94</v>
      </c>
    </row>
    <row r="27" spans="1:7" ht="25.5" x14ac:dyDescent="0.45">
      <c r="A27" s="7" t="s">
        <v>121</v>
      </c>
      <c r="B27" s="7">
        <v>5</v>
      </c>
      <c r="C27" s="4" t="s">
        <v>118</v>
      </c>
      <c r="D27" s="4" t="s">
        <v>122</v>
      </c>
      <c r="E27" s="7" t="s">
        <v>36</v>
      </c>
      <c r="F27" s="4" t="s">
        <v>123</v>
      </c>
      <c r="G27" s="4" t="s">
        <v>124</v>
      </c>
    </row>
    <row r="28" spans="1:7" ht="25.5" x14ac:dyDescent="0.45">
      <c r="A28" s="7" t="s">
        <v>125</v>
      </c>
      <c r="B28" s="7">
        <v>5</v>
      </c>
      <c r="C28" s="4" t="s">
        <v>126</v>
      </c>
      <c r="D28" s="4" t="s">
        <v>127</v>
      </c>
      <c r="E28" s="7" t="s">
        <v>36</v>
      </c>
      <c r="F28" s="4" t="s">
        <v>120</v>
      </c>
      <c r="G28" s="4" t="s">
        <v>128</v>
      </c>
    </row>
    <row r="29" spans="1:7" ht="25.5" x14ac:dyDescent="0.45">
      <c r="A29" s="7" t="s">
        <v>129</v>
      </c>
      <c r="B29" s="7">
        <v>5</v>
      </c>
      <c r="C29" s="4" t="s">
        <v>118</v>
      </c>
      <c r="D29" s="4" t="s">
        <v>130</v>
      </c>
      <c r="E29" s="7" t="s">
        <v>36</v>
      </c>
      <c r="F29" s="4" t="s">
        <v>120</v>
      </c>
      <c r="G29" s="4" t="s">
        <v>131</v>
      </c>
    </row>
    <row r="30" spans="1:7" ht="25.5" x14ac:dyDescent="0.45">
      <c r="A30" s="7" t="s">
        <v>132</v>
      </c>
      <c r="B30" s="7">
        <v>5</v>
      </c>
      <c r="C30" s="4" t="s">
        <v>43</v>
      </c>
      <c r="D30" s="4" t="s">
        <v>133</v>
      </c>
      <c r="E30" s="7" t="s">
        <v>74</v>
      </c>
      <c r="F30" s="4" t="s">
        <v>134</v>
      </c>
      <c r="G30" s="4" t="s">
        <v>135</v>
      </c>
    </row>
    <row r="31" spans="1:7" ht="25.5" x14ac:dyDescent="0.45">
      <c r="A31" s="7" t="s">
        <v>136</v>
      </c>
      <c r="B31" s="7">
        <v>5</v>
      </c>
      <c r="C31" s="4" t="s">
        <v>23</v>
      </c>
      <c r="D31" s="4" t="s">
        <v>137</v>
      </c>
      <c r="E31" s="7" t="s">
        <v>25</v>
      </c>
      <c r="F31" s="4" t="s">
        <v>138</v>
      </c>
      <c r="G31" s="4" t="s">
        <v>139</v>
      </c>
    </row>
    <row r="32" spans="1:7" x14ac:dyDescent="0.45">
      <c r="A32" s="8" t="s">
        <v>140</v>
      </c>
      <c r="B32" s="8">
        <v>6</v>
      </c>
      <c r="C32" s="9" t="s">
        <v>141</v>
      </c>
      <c r="D32" s="9" t="s">
        <v>142</v>
      </c>
      <c r="E32" s="8" t="s">
        <v>36</v>
      </c>
      <c r="F32" s="9" t="s">
        <v>143</v>
      </c>
      <c r="G32" s="9" t="s">
        <v>144</v>
      </c>
    </row>
    <row r="33" spans="1:7" ht="25.5" x14ac:dyDescent="0.45">
      <c r="A33" s="8" t="s">
        <v>145</v>
      </c>
      <c r="B33" s="8">
        <v>6</v>
      </c>
      <c r="C33" s="9" t="s">
        <v>141</v>
      </c>
      <c r="D33" s="9" t="s">
        <v>146</v>
      </c>
      <c r="E33" s="8" t="s">
        <v>36</v>
      </c>
      <c r="F33" s="9" t="s">
        <v>147</v>
      </c>
      <c r="G33" s="9" t="s">
        <v>148</v>
      </c>
    </row>
    <row r="34" spans="1:7" ht="25.5" x14ac:dyDescent="0.45">
      <c r="A34" s="8" t="s">
        <v>149</v>
      </c>
      <c r="B34" s="8">
        <v>6</v>
      </c>
      <c r="C34" s="9" t="s">
        <v>141</v>
      </c>
      <c r="D34" s="9" t="s">
        <v>150</v>
      </c>
      <c r="E34" s="8" t="s">
        <v>30</v>
      </c>
      <c r="F34" s="9" t="s">
        <v>143</v>
      </c>
      <c r="G34" s="9" t="s">
        <v>151</v>
      </c>
    </row>
    <row r="35" spans="1:7" ht="25.5" x14ac:dyDescent="0.45">
      <c r="A35" s="8" t="s">
        <v>152</v>
      </c>
      <c r="B35" s="8">
        <v>6</v>
      </c>
      <c r="C35" s="9" t="s">
        <v>141</v>
      </c>
      <c r="D35" s="9" t="s">
        <v>153</v>
      </c>
      <c r="E35" s="8" t="s">
        <v>36</v>
      </c>
      <c r="F35" s="9" t="s">
        <v>143</v>
      </c>
      <c r="G35" s="9" t="s">
        <v>154</v>
      </c>
    </row>
    <row r="36" spans="1:7" ht="25.5" x14ac:dyDescent="0.45">
      <c r="A36" s="8" t="s">
        <v>155</v>
      </c>
      <c r="B36" s="8">
        <v>6</v>
      </c>
      <c r="C36" s="9" t="s">
        <v>156</v>
      </c>
      <c r="D36" s="9" t="s">
        <v>157</v>
      </c>
      <c r="E36" s="8" t="s">
        <v>62</v>
      </c>
      <c r="F36" s="9" t="s">
        <v>158</v>
      </c>
      <c r="G36" s="9" t="s">
        <v>75</v>
      </c>
    </row>
    <row r="37" spans="1:7" ht="25.5" x14ac:dyDescent="0.45">
      <c r="A37" s="8" t="s">
        <v>159</v>
      </c>
      <c r="B37" s="8">
        <v>6</v>
      </c>
      <c r="C37" s="9" t="s">
        <v>43</v>
      </c>
      <c r="D37" s="9" t="s">
        <v>160</v>
      </c>
      <c r="E37" s="8" t="s">
        <v>74</v>
      </c>
      <c r="F37" s="9" t="s">
        <v>161</v>
      </c>
      <c r="G37" s="9" t="s">
        <v>162</v>
      </c>
    </row>
    <row r="38" spans="1:7" ht="25.5" x14ac:dyDescent="0.45">
      <c r="A38" s="7" t="s">
        <v>163</v>
      </c>
      <c r="B38" s="7">
        <v>7</v>
      </c>
      <c r="C38" s="4" t="s">
        <v>164</v>
      </c>
      <c r="D38" s="4" t="s">
        <v>165</v>
      </c>
      <c r="E38" s="7" t="s">
        <v>25</v>
      </c>
      <c r="F38" s="4" t="s">
        <v>166</v>
      </c>
      <c r="G38" s="4" t="s">
        <v>167</v>
      </c>
    </row>
    <row r="39" spans="1:7" ht="25.5" x14ac:dyDescent="0.45">
      <c r="A39" s="7" t="s">
        <v>168</v>
      </c>
      <c r="B39" s="7">
        <v>7</v>
      </c>
      <c r="C39" s="4" t="s">
        <v>164</v>
      </c>
      <c r="D39" s="4" t="s">
        <v>169</v>
      </c>
      <c r="E39" s="7" t="s">
        <v>62</v>
      </c>
      <c r="F39" s="4" t="s">
        <v>170</v>
      </c>
      <c r="G39" s="4" t="s">
        <v>171</v>
      </c>
    </row>
    <row r="40" spans="1:7" ht="25.5" x14ac:dyDescent="0.45">
      <c r="A40" s="7" t="s">
        <v>172</v>
      </c>
      <c r="B40" s="7">
        <v>7</v>
      </c>
      <c r="C40" s="4" t="s">
        <v>164</v>
      </c>
      <c r="D40" s="4" t="s">
        <v>173</v>
      </c>
      <c r="E40" s="7" t="s">
        <v>74</v>
      </c>
      <c r="F40" s="4" t="s">
        <v>174</v>
      </c>
      <c r="G40" s="4" t="s">
        <v>175</v>
      </c>
    </row>
    <row r="41" spans="1:7" ht="25.5" x14ac:dyDescent="0.45">
      <c r="A41" s="7" t="s">
        <v>176</v>
      </c>
      <c r="B41" s="7">
        <v>7</v>
      </c>
      <c r="C41" s="4" t="s">
        <v>177</v>
      </c>
      <c r="D41" s="4" t="s">
        <v>178</v>
      </c>
      <c r="E41" s="7" t="s">
        <v>36</v>
      </c>
      <c r="F41" s="4" t="s">
        <v>170</v>
      </c>
      <c r="G41" s="4" t="s">
        <v>179</v>
      </c>
    </row>
    <row r="42" spans="1:7" ht="25.5" x14ac:dyDescent="0.45">
      <c r="A42" s="7" t="s">
        <v>180</v>
      </c>
      <c r="B42" s="7">
        <v>7</v>
      </c>
      <c r="C42" s="4" t="s">
        <v>164</v>
      </c>
      <c r="D42" s="4" t="s">
        <v>181</v>
      </c>
      <c r="E42" s="7" t="s">
        <v>30</v>
      </c>
      <c r="F42" s="4" t="s">
        <v>166</v>
      </c>
      <c r="G42" s="4" t="s">
        <v>124</v>
      </c>
    </row>
    <row r="43" spans="1:7" ht="25.5" x14ac:dyDescent="0.45">
      <c r="A43" s="7" t="s">
        <v>182</v>
      </c>
      <c r="B43" s="7">
        <v>7</v>
      </c>
      <c r="C43" s="4" t="s">
        <v>23</v>
      </c>
      <c r="D43" s="4" t="s">
        <v>183</v>
      </c>
      <c r="E43" s="7" t="s">
        <v>25</v>
      </c>
      <c r="F43" s="4" t="s">
        <v>166</v>
      </c>
      <c r="G43" s="4" t="s">
        <v>167</v>
      </c>
    </row>
    <row r="44" spans="1:7" ht="25.5" x14ac:dyDescent="0.45">
      <c r="A44" s="8" t="s">
        <v>184</v>
      </c>
      <c r="B44" s="8">
        <v>8</v>
      </c>
      <c r="C44" s="9" t="s">
        <v>185</v>
      </c>
      <c r="D44" s="9" t="s">
        <v>186</v>
      </c>
      <c r="E44" s="8" t="s">
        <v>25</v>
      </c>
      <c r="F44" s="9" t="s">
        <v>187</v>
      </c>
      <c r="G44" s="9" t="s">
        <v>188</v>
      </c>
    </row>
    <row r="45" spans="1:7" ht="25.5" x14ac:dyDescent="0.45">
      <c r="A45" s="8" t="s">
        <v>189</v>
      </c>
      <c r="B45" s="8">
        <v>8</v>
      </c>
      <c r="C45" s="9" t="s">
        <v>185</v>
      </c>
      <c r="D45" s="9" t="s">
        <v>190</v>
      </c>
      <c r="E45" s="8" t="s">
        <v>25</v>
      </c>
      <c r="F45" s="9" t="s">
        <v>187</v>
      </c>
      <c r="G45" s="9" t="s">
        <v>191</v>
      </c>
    </row>
    <row r="46" spans="1:7" ht="25.5" x14ac:dyDescent="0.45">
      <c r="A46" s="8" t="s">
        <v>192</v>
      </c>
      <c r="B46" s="8">
        <v>8</v>
      </c>
      <c r="C46" s="9" t="s">
        <v>185</v>
      </c>
      <c r="D46" s="9" t="s">
        <v>193</v>
      </c>
      <c r="E46" s="8" t="s">
        <v>36</v>
      </c>
      <c r="F46" s="9" t="s">
        <v>194</v>
      </c>
      <c r="G46" s="9" t="s">
        <v>195</v>
      </c>
    </row>
    <row r="47" spans="1:7" ht="25.5" x14ac:dyDescent="0.45">
      <c r="A47" s="8" t="s">
        <v>196</v>
      </c>
      <c r="B47" s="8">
        <v>8</v>
      </c>
      <c r="C47" s="9" t="s">
        <v>197</v>
      </c>
      <c r="D47" s="9" t="s">
        <v>198</v>
      </c>
      <c r="E47" s="8" t="s">
        <v>30</v>
      </c>
      <c r="F47" s="9" t="s">
        <v>199</v>
      </c>
      <c r="G47" s="9" t="s">
        <v>200</v>
      </c>
    </row>
    <row r="48" spans="1:7" ht="25.5" x14ac:dyDescent="0.45">
      <c r="A48" s="8" t="s">
        <v>201</v>
      </c>
      <c r="B48" s="8">
        <v>8</v>
      </c>
      <c r="C48" s="9" t="s">
        <v>197</v>
      </c>
      <c r="D48" s="9" t="s">
        <v>202</v>
      </c>
      <c r="E48" s="8" t="s">
        <v>74</v>
      </c>
      <c r="F48" s="9" t="s">
        <v>199</v>
      </c>
      <c r="G48" s="9" t="s">
        <v>75</v>
      </c>
    </row>
    <row r="49" spans="1:7" ht="25.5" x14ac:dyDescent="0.45">
      <c r="A49" s="8" t="s">
        <v>203</v>
      </c>
      <c r="B49" s="8">
        <v>8</v>
      </c>
      <c r="C49" s="9" t="s">
        <v>43</v>
      </c>
      <c r="D49" s="9" t="s">
        <v>204</v>
      </c>
      <c r="E49" s="8" t="s">
        <v>25</v>
      </c>
      <c r="F49" s="9" t="s">
        <v>187</v>
      </c>
      <c r="G49" s="9" t="s">
        <v>124</v>
      </c>
    </row>
    <row r="50" spans="1:7" ht="25.5" x14ac:dyDescent="0.45">
      <c r="A50" s="7" t="s">
        <v>205</v>
      </c>
      <c r="B50" s="7">
        <v>9</v>
      </c>
      <c r="C50" s="4" t="s">
        <v>206</v>
      </c>
      <c r="D50" s="4" t="s">
        <v>207</v>
      </c>
      <c r="E50" s="7" t="s">
        <v>62</v>
      </c>
      <c r="F50" s="4" t="s">
        <v>208</v>
      </c>
      <c r="G50" s="4" t="s">
        <v>209</v>
      </c>
    </row>
    <row r="51" spans="1:7" ht="25.5" x14ac:dyDescent="0.45">
      <c r="A51" s="7" t="s">
        <v>210</v>
      </c>
      <c r="B51" s="7">
        <v>9</v>
      </c>
      <c r="C51" s="4" t="s">
        <v>206</v>
      </c>
      <c r="D51" s="4" t="s">
        <v>211</v>
      </c>
      <c r="E51" s="7" t="s">
        <v>36</v>
      </c>
      <c r="F51" s="4" t="s">
        <v>208</v>
      </c>
      <c r="G51" s="4" t="s">
        <v>154</v>
      </c>
    </row>
    <row r="52" spans="1:7" ht="25.5" x14ac:dyDescent="0.45">
      <c r="A52" s="7" t="s">
        <v>212</v>
      </c>
      <c r="B52" s="7">
        <v>9</v>
      </c>
      <c r="C52" s="4" t="s">
        <v>213</v>
      </c>
      <c r="D52" s="4" t="s">
        <v>214</v>
      </c>
      <c r="E52" s="7" t="s">
        <v>36</v>
      </c>
      <c r="F52" s="4" t="s">
        <v>215</v>
      </c>
      <c r="G52" s="4" t="s">
        <v>216</v>
      </c>
    </row>
    <row r="53" spans="1:7" ht="25.5" x14ac:dyDescent="0.45">
      <c r="A53" s="7" t="s">
        <v>217</v>
      </c>
      <c r="B53" s="7">
        <v>9</v>
      </c>
      <c r="C53" s="4" t="s">
        <v>206</v>
      </c>
      <c r="D53" s="4" t="s">
        <v>218</v>
      </c>
      <c r="E53" s="7" t="s">
        <v>36</v>
      </c>
      <c r="F53" s="4" t="s">
        <v>208</v>
      </c>
      <c r="G53" s="4" t="s">
        <v>124</v>
      </c>
    </row>
    <row r="54" spans="1:7" ht="25.5" x14ac:dyDescent="0.45">
      <c r="A54" s="7" t="s">
        <v>219</v>
      </c>
      <c r="B54" s="7">
        <v>9</v>
      </c>
      <c r="C54" s="4" t="s">
        <v>43</v>
      </c>
      <c r="D54" s="4" t="s">
        <v>220</v>
      </c>
      <c r="E54" s="7" t="s">
        <v>74</v>
      </c>
      <c r="F54" s="4" t="s">
        <v>208</v>
      </c>
      <c r="G54" s="4" t="s">
        <v>75</v>
      </c>
    </row>
    <row r="55" spans="1:7" ht="25.5" x14ac:dyDescent="0.45">
      <c r="A55" s="7" t="s">
        <v>221</v>
      </c>
      <c r="B55" s="7">
        <v>9</v>
      </c>
      <c r="C55" s="4" t="s">
        <v>23</v>
      </c>
      <c r="D55" s="4" t="s">
        <v>222</v>
      </c>
      <c r="E55" s="7" t="s">
        <v>25</v>
      </c>
      <c r="F55" s="4" t="s">
        <v>223</v>
      </c>
      <c r="G55" s="4" t="s">
        <v>224</v>
      </c>
    </row>
    <row r="56" spans="1:7" ht="25.5" x14ac:dyDescent="0.45">
      <c r="A56" s="8" t="s">
        <v>225</v>
      </c>
      <c r="B56" s="8">
        <v>10</v>
      </c>
      <c r="C56" s="9" t="s">
        <v>226</v>
      </c>
      <c r="D56" s="9" t="s">
        <v>227</v>
      </c>
      <c r="E56" s="8" t="s">
        <v>62</v>
      </c>
      <c r="F56" s="9" t="s">
        <v>228</v>
      </c>
      <c r="G56" s="9" t="s">
        <v>229</v>
      </c>
    </row>
    <row r="57" spans="1:7" ht="25.5" x14ac:dyDescent="0.45">
      <c r="A57" s="8" t="s">
        <v>230</v>
      </c>
      <c r="B57" s="8">
        <v>10</v>
      </c>
      <c r="C57" s="9" t="s">
        <v>231</v>
      </c>
      <c r="D57" s="9" t="s">
        <v>232</v>
      </c>
      <c r="E57" s="8" t="s">
        <v>62</v>
      </c>
      <c r="F57" s="9" t="s">
        <v>233</v>
      </c>
      <c r="G57" s="9" t="s">
        <v>234</v>
      </c>
    </row>
    <row r="58" spans="1:7" ht="25.5" x14ac:dyDescent="0.45">
      <c r="A58" s="8" t="s">
        <v>235</v>
      </c>
      <c r="B58" s="8">
        <v>10</v>
      </c>
      <c r="C58" s="9" t="s">
        <v>236</v>
      </c>
      <c r="D58" s="9" t="s">
        <v>237</v>
      </c>
      <c r="E58" s="8" t="s">
        <v>74</v>
      </c>
      <c r="F58" s="9" t="s">
        <v>238</v>
      </c>
      <c r="G58" s="9" t="s">
        <v>75</v>
      </c>
    </row>
    <row r="59" spans="1:7" ht="25.5" x14ac:dyDescent="0.45">
      <c r="A59" s="8" t="s">
        <v>239</v>
      </c>
      <c r="B59" s="8">
        <v>10</v>
      </c>
      <c r="C59" s="9" t="s">
        <v>240</v>
      </c>
      <c r="D59" s="9" t="s">
        <v>241</v>
      </c>
      <c r="E59" s="8" t="s">
        <v>25</v>
      </c>
      <c r="F59" s="9" t="s">
        <v>242</v>
      </c>
      <c r="G59" s="9" t="s">
        <v>243</v>
      </c>
    </row>
    <row r="60" spans="1:7" ht="25.5" x14ac:dyDescent="0.45">
      <c r="A60" s="8" t="s">
        <v>244</v>
      </c>
      <c r="B60" s="8">
        <v>10</v>
      </c>
      <c r="C60" s="9" t="s">
        <v>231</v>
      </c>
      <c r="D60" s="9" t="s">
        <v>245</v>
      </c>
      <c r="E60" s="8" t="s">
        <v>74</v>
      </c>
      <c r="F60" s="9" t="s">
        <v>233</v>
      </c>
      <c r="G60" s="9" t="s">
        <v>75</v>
      </c>
    </row>
    <row r="61" spans="1:7" ht="25.5" x14ac:dyDescent="0.45">
      <c r="A61" s="8" t="s">
        <v>246</v>
      </c>
      <c r="B61" s="8">
        <v>10</v>
      </c>
      <c r="C61" s="9" t="s">
        <v>23</v>
      </c>
      <c r="D61" s="9" t="s">
        <v>247</v>
      </c>
      <c r="E61" s="8" t="s">
        <v>74</v>
      </c>
      <c r="F61" s="9" t="s">
        <v>233</v>
      </c>
      <c r="G61" s="9" t="s">
        <v>234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7" customWidth="1"/>
    <col min="2" max="2" width="26" customWidth="1"/>
    <col min="3" max="3" width="58" customWidth="1"/>
    <col min="4" max="4" width="40" customWidth="1"/>
    <col min="5" max="5" width="52" customWidth="1"/>
    <col min="6" max="6" width="10" customWidth="1"/>
    <col min="7" max="7" width="12" customWidth="1"/>
  </cols>
  <sheetData>
    <row r="1" spans="1:7" x14ac:dyDescent="0.45">
      <c r="A1" s="6" t="s">
        <v>16</v>
      </c>
      <c r="B1" s="6" t="s">
        <v>248</v>
      </c>
      <c r="C1" s="6" t="s">
        <v>249</v>
      </c>
      <c r="D1" s="6" t="s">
        <v>250</v>
      </c>
      <c r="E1" s="6" t="s">
        <v>251</v>
      </c>
      <c r="F1" s="6" t="s">
        <v>252</v>
      </c>
      <c r="G1" s="6" t="s">
        <v>253</v>
      </c>
    </row>
    <row r="2" spans="1:7" ht="38.25" x14ac:dyDescent="0.45">
      <c r="A2" s="7">
        <v>1</v>
      </c>
      <c r="B2" s="3" t="s">
        <v>254</v>
      </c>
      <c r="C2" s="4" t="s">
        <v>255</v>
      </c>
      <c r="D2" s="4" t="s">
        <v>256</v>
      </c>
      <c r="E2" s="4" t="s">
        <v>257</v>
      </c>
      <c r="F2" s="7" t="s">
        <v>258</v>
      </c>
      <c r="G2" s="10">
        <f>COUNTIF(Objectives!B:B,A2)</f>
        <v>6</v>
      </c>
    </row>
    <row r="3" spans="1:7" ht="51" x14ac:dyDescent="0.45">
      <c r="A3" s="8">
        <v>2</v>
      </c>
      <c r="B3" s="11" t="s">
        <v>259</v>
      </c>
      <c r="C3" s="9" t="s">
        <v>260</v>
      </c>
      <c r="D3" s="9" t="s">
        <v>261</v>
      </c>
      <c r="E3" s="9" t="s">
        <v>262</v>
      </c>
      <c r="F3" s="8" t="s">
        <v>258</v>
      </c>
      <c r="G3" s="12">
        <f>COUNTIF(Objectives!B:B,A3)</f>
        <v>6</v>
      </c>
    </row>
    <row r="4" spans="1:7" ht="38.25" x14ac:dyDescent="0.45">
      <c r="A4" s="7">
        <v>3</v>
      </c>
      <c r="B4" s="3" t="s">
        <v>263</v>
      </c>
      <c r="C4" s="4" t="s">
        <v>264</v>
      </c>
      <c r="D4" s="4" t="s">
        <v>265</v>
      </c>
      <c r="E4" s="4" t="s">
        <v>266</v>
      </c>
      <c r="F4" s="7" t="s">
        <v>258</v>
      </c>
      <c r="G4" s="10">
        <f>COUNTIF(Objectives!B:B,A4)</f>
        <v>6</v>
      </c>
    </row>
    <row r="5" spans="1:7" ht="38.25" x14ac:dyDescent="0.45">
      <c r="A5" s="8">
        <v>4</v>
      </c>
      <c r="B5" s="11" t="s">
        <v>267</v>
      </c>
      <c r="C5" s="9" t="s">
        <v>268</v>
      </c>
      <c r="D5" s="9" t="s">
        <v>269</v>
      </c>
      <c r="E5" s="9" t="s">
        <v>270</v>
      </c>
      <c r="F5" s="8" t="s">
        <v>271</v>
      </c>
      <c r="G5" s="12">
        <f>COUNTIF(Objectives!B:B,A5)</f>
        <v>6</v>
      </c>
    </row>
    <row r="6" spans="1:7" ht="38.25" x14ac:dyDescent="0.45">
      <c r="A6" s="7">
        <v>5</v>
      </c>
      <c r="B6" s="3" t="s">
        <v>272</v>
      </c>
      <c r="C6" s="4" t="s">
        <v>273</v>
      </c>
      <c r="D6" s="4" t="s">
        <v>274</v>
      </c>
      <c r="E6" s="4" t="s">
        <v>275</v>
      </c>
      <c r="F6" s="7" t="s">
        <v>276</v>
      </c>
      <c r="G6" s="10">
        <f>COUNTIF(Objectives!B:B,A6)</f>
        <v>6</v>
      </c>
    </row>
    <row r="7" spans="1:7" ht="38.25" x14ac:dyDescent="0.45">
      <c r="A7" s="8">
        <v>6</v>
      </c>
      <c r="B7" s="11" t="s">
        <v>277</v>
      </c>
      <c r="C7" s="9" t="s">
        <v>278</v>
      </c>
      <c r="D7" s="9" t="s">
        <v>279</v>
      </c>
      <c r="E7" s="9" t="s">
        <v>280</v>
      </c>
      <c r="F7" s="8" t="s">
        <v>258</v>
      </c>
      <c r="G7" s="12">
        <f>COUNTIF(Objectives!B:B,A7)</f>
        <v>6</v>
      </c>
    </row>
    <row r="8" spans="1:7" ht="51" x14ac:dyDescent="0.45">
      <c r="A8" s="7">
        <v>7</v>
      </c>
      <c r="B8" s="3" t="s">
        <v>281</v>
      </c>
      <c r="C8" s="4" t="s">
        <v>282</v>
      </c>
      <c r="D8" s="4" t="s">
        <v>283</v>
      </c>
      <c r="E8" s="4" t="s">
        <v>284</v>
      </c>
      <c r="F8" s="7" t="s">
        <v>258</v>
      </c>
      <c r="G8" s="10">
        <f>COUNTIF(Objectives!B:B,A8)</f>
        <v>6</v>
      </c>
    </row>
    <row r="9" spans="1:7" ht="38.25" x14ac:dyDescent="0.45">
      <c r="A9" s="8">
        <v>8</v>
      </c>
      <c r="B9" s="11" t="s">
        <v>285</v>
      </c>
      <c r="C9" s="9" t="s">
        <v>286</v>
      </c>
      <c r="D9" s="9" t="s">
        <v>287</v>
      </c>
      <c r="E9" s="9" t="s">
        <v>288</v>
      </c>
      <c r="F9" s="8" t="s">
        <v>258</v>
      </c>
      <c r="G9" s="12">
        <f>COUNTIF(Objectives!B:B,A9)</f>
        <v>6</v>
      </c>
    </row>
    <row r="10" spans="1:7" ht="38.25" x14ac:dyDescent="0.45">
      <c r="A10" s="7">
        <v>9</v>
      </c>
      <c r="B10" s="3" t="s">
        <v>289</v>
      </c>
      <c r="C10" s="4" t="s">
        <v>290</v>
      </c>
      <c r="D10" s="4" t="s">
        <v>291</v>
      </c>
      <c r="E10" s="4" t="s">
        <v>292</v>
      </c>
      <c r="F10" s="7" t="s">
        <v>276</v>
      </c>
      <c r="G10" s="10">
        <f>COUNTIF(Objectives!B:B,A10)</f>
        <v>6</v>
      </c>
    </row>
    <row r="11" spans="1:7" ht="38.25" x14ac:dyDescent="0.45">
      <c r="A11" s="8">
        <v>10</v>
      </c>
      <c r="B11" s="11" t="s">
        <v>293</v>
      </c>
      <c r="C11" s="9" t="s">
        <v>294</v>
      </c>
      <c r="D11" s="9" t="s">
        <v>295</v>
      </c>
      <c r="E11" s="9" t="s">
        <v>296</v>
      </c>
      <c r="F11" s="8" t="s">
        <v>276</v>
      </c>
      <c r="G11" s="12">
        <f>COUNTIF(Objectives!B:B,A11)</f>
        <v>6</v>
      </c>
    </row>
    <row r="12" spans="1:7" x14ac:dyDescent="0.45">
      <c r="F12" s="13" t="s">
        <v>297</v>
      </c>
      <c r="G12" s="14">
        <f>SUM(G2:G11)</f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6" customWidth="1"/>
    <col min="2" max="2" width="40" customWidth="1"/>
    <col min="3" max="3" width="52" customWidth="1"/>
    <col min="4" max="4" width="14" customWidth="1"/>
    <col min="5" max="5" width="52" customWidth="1"/>
  </cols>
  <sheetData>
    <row r="1" spans="1:5" x14ac:dyDescent="0.45">
      <c r="A1" s="6" t="s">
        <v>298</v>
      </c>
      <c r="B1" s="6" t="s">
        <v>299</v>
      </c>
      <c r="C1" s="6" t="s">
        <v>300</v>
      </c>
      <c r="D1" s="6" t="s">
        <v>301</v>
      </c>
      <c r="E1" s="6" t="s">
        <v>302</v>
      </c>
    </row>
    <row r="2" spans="1:5" x14ac:dyDescent="0.45">
      <c r="A2" s="4" t="s">
        <v>303</v>
      </c>
      <c r="B2" s="3" t="s">
        <v>304</v>
      </c>
      <c r="C2" s="4" t="s">
        <v>305</v>
      </c>
      <c r="D2" s="7" t="s">
        <v>306</v>
      </c>
      <c r="E2" s="4" t="s">
        <v>307</v>
      </c>
    </row>
    <row r="3" spans="1:5" ht="26.25" x14ac:dyDescent="0.45">
      <c r="A3" s="9" t="s">
        <v>303</v>
      </c>
      <c r="B3" s="11" t="s">
        <v>308</v>
      </c>
      <c r="C3" s="9" t="s">
        <v>309</v>
      </c>
      <c r="D3" s="8" t="s">
        <v>310</v>
      </c>
      <c r="E3" s="9" t="s">
        <v>311</v>
      </c>
    </row>
    <row r="4" spans="1:5" ht="26.25" x14ac:dyDescent="0.45">
      <c r="A4" s="4" t="s">
        <v>303</v>
      </c>
      <c r="B4" s="3" t="s">
        <v>312</v>
      </c>
      <c r="C4" s="4" t="s">
        <v>313</v>
      </c>
      <c r="D4" s="7" t="s">
        <v>314</v>
      </c>
      <c r="E4" s="4" t="s">
        <v>315</v>
      </c>
    </row>
    <row r="5" spans="1:5" x14ac:dyDescent="0.45">
      <c r="A5" s="9" t="s">
        <v>303</v>
      </c>
      <c r="B5" s="11" t="s">
        <v>316</v>
      </c>
      <c r="C5" s="9" t="s">
        <v>317</v>
      </c>
      <c r="D5" s="8" t="s">
        <v>318</v>
      </c>
      <c r="E5" s="9" t="s">
        <v>319</v>
      </c>
    </row>
    <row r="6" spans="1:5" x14ac:dyDescent="0.45">
      <c r="A6" s="4" t="s">
        <v>303</v>
      </c>
      <c r="B6" s="3" t="s">
        <v>320</v>
      </c>
      <c r="C6" s="4" t="s">
        <v>321</v>
      </c>
      <c r="D6" s="7" t="s">
        <v>322</v>
      </c>
      <c r="E6" s="4" t="s">
        <v>323</v>
      </c>
    </row>
    <row r="7" spans="1:5" x14ac:dyDescent="0.45">
      <c r="A7" s="9" t="s">
        <v>303</v>
      </c>
      <c r="B7" s="11" t="s">
        <v>324</v>
      </c>
      <c r="C7" s="9" t="s">
        <v>325</v>
      </c>
      <c r="D7" s="8" t="s">
        <v>326</v>
      </c>
      <c r="E7" s="9" t="s">
        <v>327</v>
      </c>
    </row>
    <row r="8" spans="1:5" ht="26.25" x14ac:dyDescent="0.45">
      <c r="A8" s="4" t="s">
        <v>303</v>
      </c>
      <c r="B8" s="3" t="s">
        <v>328</v>
      </c>
      <c r="C8" s="4" t="s">
        <v>329</v>
      </c>
      <c r="D8" s="7" t="s">
        <v>330</v>
      </c>
      <c r="E8" s="4" t="s">
        <v>331</v>
      </c>
    </row>
    <row r="9" spans="1:5" ht="26.25" x14ac:dyDescent="0.45">
      <c r="A9" s="9" t="s">
        <v>303</v>
      </c>
      <c r="B9" s="11" t="s">
        <v>332</v>
      </c>
      <c r="C9" s="9" t="s">
        <v>333</v>
      </c>
      <c r="D9" s="8" t="s">
        <v>306</v>
      </c>
      <c r="E9" s="9" t="s">
        <v>334</v>
      </c>
    </row>
    <row r="10" spans="1:5" x14ac:dyDescent="0.45">
      <c r="A10" s="4" t="s">
        <v>303</v>
      </c>
      <c r="B10" s="3" t="s">
        <v>335</v>
      </c>
      <c r="C10" s="4" t="s">
        <v>336</v>
      </c>
      <c r="D10" s="7" t="s">
        <v>306</v>
      </c>
      <c r="E10" s="4" t="s">
        <v>337</v>
      </c>
    </row>
    <row r="11" spans="1:5" ht="25.5" x14ac:dyDescent="0.45">
      <c r="A11" s="9" t="s">
        <v>303</v>
      </c>
      <c r="B11" s="11" t="s">
        <v>338</v>
      </c>
      <c r="C11" s="9" t="s">
        <v>339</v>
      </c>
      <c r="D11" s="8" t="s">
        <v>340</v>
      </c>
      <c r="E11" s="9" t="s">
        <v>341</v>
      </c>
    </row>
    <row r="12" spans="1:5" ht="26.25" x14ac:dyDescent="0.45">
      <c r="A12" s="4" t="s">
        <v>303</v>
      </c>
      <c r="B12" s="3" t="s">
        <v>342</v>
      </c>
      <c r="C12" s="4" t="s">
        <v>343</v>
      </c>
      <c r="D12" s="7" t="s">
        <v>322</v>
      </c>
      <c r="E12" s="4" t="s">
        <v>344</v>
      </c>
    </row>
    <row r="13" spans="1:5" ht="26.25" x14ac:dyDescent="0.45">
      <c r="A13" s="9" t="s">
        <v>345</v>
      </c>
      <c r="B13" s="11" t="s">
        <v>346</v>
      </c>
      <c r="C13" s="9" t="s">
        <v>347</v>
      </c>
      <c r="D13" s="8" t="s">
        <v>348</v>
      </c>
      <c r="E13" s="9" t="s">
        <v>349</v>
      </c>
    </row>
    <row r="14" spans="1:5" ht="26.25" x14ac:dyDescent="0.45">
      <c r="A14" s="4" t="s">
        <v>345</v>
      </c>
      <c r="B14" s="3" t="s">
        <v>350</v>
      </c>
      <c r="C14" s="4" t="s">
        <v>351</v>
      </c>
      <c r="D14" s="7" t="s">
        <v>352</v>
      </c>
      <c r="E14" s="4" t="s">
        <v>353</v>
      </c>
    </row>
    <row r="15" spans="1:5" ht="26.25" x14ac:dyDescent="0.45">
      <c r="A15" s="9" t="s">
        <v>345</v>
      </c>
      <c r="B15" s="11" t="s">
        <v>354</v>
      </c>
      <c r="C15" s="9" t="s">
        <v>355</v>
      </c>
      <c r="D15" s="8" t="s">
        <v>356</v>
      </c>
      <c r="E15" s="9" t="s">
        <v>357</v>
      </c>
    </row>
    <row r="16" spans="1:5" ht="25.5" x14ac:dyDescent="0.45">
      <c r="A16" s="4" t="s">
        <v>345</v>
      </c>
      <c r="B16" s="3" t="s">
        <v>358</v>
      </c>
      <c r="C16" s="4" t="s">
        <v>359</v>
      </c>
      <c r="D16" s="7" t="s">
        <v>322</v>
      </c>
      <c r="E16" s="4" t="s">
        <v>360</v>
      </c>
    </row>
    <row r="17" spans="1:5" ht="25.5" x14ac:dyDescent="0.45">
      <c r="A17" s="9" t="s">
        <v>361</v>
      </c>
      <c r="B17" s="11" t="s">
        <v>151</v>
      </c>
      <c r="C17" s="9" t="s">
        <v>362</v>
      </c>
      <c r="D17" s="8" t="s">
        <v>318</v>
      </c>
      <c r="E17" s="9" t="s">
        <v>363</v>
      </c>
    </row>
    <row r="18" spans="1:5" x14ac:dyDescent="0.45">
      <c r="A18" s="4" t="s">
        <v>361</v>
      </c>
      <c r="B18" s="3" t="s">
        <v>364</v>
      </c>
      <c r="C18" s="4" t="s">
        <v>365</v>
      </c>
      <c r="D18" s="7" t="s">
        <v>366</v>
      </c>
      <c r="E18" s="4" t="s">
        <v>367</v>
      </c>
    </row>
    <row r="19" spans="1:5" ht="25.5" x14ac:dyDescent="0.45">
      <c r="A19" s="9" t="s">
        <v>361</v>
      </c>
      <c r="B19" s="11" t="s">
        <v>368</v>
      </c>
      <c r="C19" s="9" t="s">
        <v>369</v>
      </c>
      <c r="D19" s="8" t="s">
        <v>366</v>
      </c>
      <c r="E19" s="9" t="s">
        <v>370</v>
      </c>
    </row>
    <row r="20" spans="1:5" ht="26.25" x14ac:dyDescent="0.45">
      <c r="A20" s="4" t="s">
        <v>361</v>
      </c>
      <c r="B20" s="3" t="s">
        <v>371</v>
      </c>
      <c r="C20" s="4" t="s">
        <v>372</v>
      </c>
      <c r="D20" s="7" t="s">
        <v>373</v>
      </c>
      <c r="E20" s="4" t="s">
        <v>374</v>
      </c>
    </row>
    <row r="21" spans="1:5" ht="26.25" x14ac:dyDescent="0.45">
      <c r="A21" s="9" t="s">
        <v>375</v>
      </c>
      <c r="B21" s="11" t="s">
        <v>376</v>
      </c>
      <c r="C21" s="9" t="s">
        <v>377</v>
      </c>
      <c r="D21" s="8" t="s">
        <v>378</v>
      </c>
      <c r="E21" s="9" t="s">
        <v>379</v>
      </c>
    </row>
    <row r="22" spans="1:5" ht="26.25" x14ac:dyDescent="0.45">
      <c r="A22" s="4" t="s">
        <v>375</v>
      </c>
      <c r="B22" s="3" t="s">
        <v>380</v>
      </c>
      <c r="C22" s="4" t="s">
        <v>381</v>
      </c>
      <c r="D22" s="7" t="s">
        <v>382</v>
      </c>
      <c r="E22" s="4" t="s">
        <v>383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Objectives</vt:lpstr>
      <vt:lpstr>Weekly Map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Andy Catlin</cp:lastModifiedBy>
  <cp:revision>0</cp:revision>
  <dcterms:created xsi:type="dcterms:W3CDTF">2026-07-23T17:38:22Z</dcterms:created>
  <dcterms:modified xsi:type="dcterms:W3CDTF">2026-07-23T18:02:21Z</dcterms:modified>
  <dc:language>en-US</dc:language>
</cp:coreProperties>
</file>